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erminal\Desktop\streamlit-projetos\dinamica-coordenadores-cidades\"/>
    </mc:Choice>
  </mc:AlternateContent>
  <xr:revisionPtr revIDLastSave="0" documentId="13_ncr:1_{D42788FD-7837-418B-B0B7-C8B99DC5B2DC}" xr6:coauthVersionLast="36" xr6:coauthVersionMax="36" xr10:uidLastSave="{00000000-0000-0000-0000-000000000000}"/>
  <bookViews>
    <workbookView minimized="1" xWindow="0" yWindow="0" windowWidth="20490" windowHeight="8820" activeTab="1" xr2:uid="{00000000-000D-0000-FFFF-FFFF00000000}"/>
  </bookViews>
  <sheets>
    <sheet name="Coordenador" sheetId="1" r:id="rId1"/>
    <sheet name="CoordenadorCidade" sheetId="2" r:id="rId2"/>
  </sheets>
  <functionGroups builtInGroupCount="19"/>
  <definedNames>
    <definedName name="_xlnm._FilterDatabase" localSheetId="1" hidden="1">CoordenadorCidade!$A$1:$D$102</definedName>
  </definedNames>
  <calcPr calcId="191029"/>
</workbook>
</file>

<file path=xl/calcChain.xml><?xml version="1.0" encoding="utf-8"?>
<calcChain xmlns="http://schemas.openxmlformats.org/spreadsheetml/2006/main">
  <c r="E8" i="2" l="1"/>
  <c r="E4" i="2"/>
  <c r="E3" i="2"/>
  <c r="E80" i="2"/>
  <c r="E72" i="2"/>
  <c r="E56" i="2"/>
  <c r="E40" i="2"/>
  <c r="E87" i="2"/>
  <c r="E55" i="2"/>
  <c r="E31" i="2"/>
  <c r="E7" i="2"/>
  <c r="E70" i="2"/>
  <c r="E85" i="2"/>
  <c r="E45" i="2"/>
  <c r="E100" i="2"/>
  <c r="E44" i="2"/>
  <c r="E59" i="2"/>
  <c r="E71" i="2"/>
  <c r="E47" i="2"/>
  <c r="E23" i="2"/>
  <c r="E86" i="2"/>
  <c r="E38" i="2"/>
  <c r="E93" i="2"/>
  <c r="E37" i="2"/>
  <c r="E76" i="2"/>
  <c r="E20" i="2"/>
  <c r="E51" i="2"/>
  <c r="E94" i="2"/>
  <c r="E54" i="2"/>
  <c r="E101" i="2"/>
  <c r="E53" i="2"/>
  <c r="E84" i="2"/>
  <c r="E28" i="2"/>
  <c r="E67" i="2"/>
  <c r="E77" i="2"/>
  <c r="E29" i="2"/>
  <c r="E68" i="2"/>
  <c r="E12" i="2"/>
  <c r="E19" i="2"/>
  <c r="E52" i="2"/>
  <c r="E99" i="2"/>
  <c r="E35" i="2"/>
  <c r="E43" i="2"/>
  <c r="E90" i="2"/>
  <c r="E66" i="2"/>
  <c r="E58" i="2"/>
  <c r="E50" i="2"/>
  <c r="E42" i="2"/>
  <c r="E34" i="2"/>
  <c r="E26" i="2"/>
  <c r="E18" i="2"/>
  <c r="E10" i="2"/>
  <c r="E78" i="2"/>
  <c r="E46" i="2"/>
  <c r="E14" i="2"/>
  <c r="E61" i="2"/>
  <c r="E21" i="2"/>
  <c r="E92" i="2"/>
  <c r="E11" i="2"/>
  <c r="E89" i="2"/>
  <c r="E65" i="2"/>
  <c r="E57" i="2"/>
  <c r="E49" i="2"/>
  <c r="E41" i="2"/>
  <c r="E33" i="2"/>
  <c r="E25" i="2"/>
  <c r="E17" i="2"/>
  <c r="E9" i="2"/>
  <c r="E96" i="2"/>
  <c r="E88" i="2"/>
  <c r="E64" i="2"/>
  <c r="E32" i="2"/>
  <c r="E16" i="2"/>
  <c r="E79" i="2"/>
  <c r="E63" i="2"/>
  <c r="E39" i="2"/>
  <c r="E15" i="2"/>
  <c r="E102" i="2"/>
  <c r="E69" i="2"/>
  <c r="E83" i="2"/>
  <c r="E27" i="2"/>
  <c r="E2" i="2"/>
  <c r="E98" i="2"/>
  <c r="E82" i="2"/>
  <c r="E75" i="2"/>
  <c r="E60" i="2"/>
  <c r="E81" i="2"/>
  <c r="E48" i="2"/>
  <c r="E22" i="2"/>
  <c r="E24" i="2"/>
  <c r="E13" i="2"/>
  <c r="E6" i="2"/>
  <c r="E5" i="2"/>
  <c r="E91" i="2"/>
  <c r="E95" i="2"/>
  <c r="E30" i="2"/>
  <c r="E62" i="2"/>
  <c r="E36" i="2"/>
  <c r="E74" i="2"/>
  <c r="E73" i="2"/>
  <c r="E97" i="2"/>
</calcChain>
</file>

<file path=xl/sharedStrings.xml><?xml version="1.0" encoding="utf-8"?>
<sst xmlns="http://schemas.openxmlformats.org/spreadsheetml/2006/main" count="445" uniqueCount="138">
  <si>
    <t>Gerente</t>
  </si>
  <si>
    <t>Coordenador</t>
  </si>
  <si>
    <t>e-mail</t>
  </si>
  <si>
    <t>Telefone</t>
  </si>
  <si>
    <t>Valdecir</t>
  </si>
  <si>
    <t>Fernanda</t>
  </si>
  <si>
    <t>fernanda.irala@dinamicarh.net</t>
  </si>
  <si>
    <t>47-99164-1015</t>
  </si>
  <si>
    <t>Michel</t>
  </si>
  <si>
    <t>balneario@dinamicamerchandising.com.br</t>
  </si>
  <si>
    <t>47-99190-7521</t>
  </si>
  <si>
    <t>Rafael</t>
  </si>
  <si>
    <t>blumenau@dinamicarh.net</t>
  </si>
  <si>
    <t>47-99102-9872</t>
  </si>
  <si>
    <t>Dario</t>
  </si>
  <si>
    <t>joinville@dinamicarh.net</t>
  </si>
  <si>
    <t>47-99218-8774</t>
  </si>
  <si>
    <t>Ruan</t>
  </si>
  <si>
    <t>ruan.pereira@dinamicarh.net</t>
  </si>
  <si>
    <t>48-99184-4023</t>
  </si>
  <si>
    <t>Gustavo</t>
  </si>
  <si>
    <t>Marcelinho</t>
  </si>
  <si>
    <t>marcelo.machado@dinamicarh.net</t>
  </si>
  <si>
    <t>48-99104-5459</t>
  </si>
  <si>
    <t>Marlene</t>
  </si>
  <si>
    <t>marlene.fernandes@dinamicarh.net</t>
  </si>
  <si>
    <t>48-99162-3989</t>
  </si>
  <si>
    <t>Marcelo</t>
  </si>
  <si>
    <t>marcelo@dinamicarh.net</t>
  </si>
  <si>
    <t>48-99162-6996</t>
  </si>
  <si>
    <t>Sucursal</t>
  </si>
  <si>
    <t>Cidade</t>
  </si>
  <si>
    <t>Estado</t>
  </si>
  <si>
    <t>Blumenau</t>
  </si>
  <si>
    <t>Santa Catarina</t>
  </si>
  <si>
    <t>Indaial</t>
  </si>
  <si>
    <t>Rodeio</t>
  </si>
  <si>
    <t>Schroeder</t>
  </si>
  <si>
    <t>Guaramirim</t>
  </si>
  <si>
    <t>Massaranduba</t>
  </si>
  <si>
    <t>Balneario</t>
  </si>
  <si>
    <t>Itapema</t>
  </si>
  <si>
    <t>Porto Belo</t>
  </si>
  <si>
    <t>Bombinhas</t>
  </si>
  <si>
    <t>Tijucas</t>
  </si>
  <si>
    <t>Canelinha</t>
  </si>
  <si>
    <t>Nova Trento</t>
  </si>
  <si>
    <t>Brusque</t>
  </si>
  <si>
    <t>Itajai</t>
  </si>
  <si>
    <t>Luiz Alves</t>
  </si>
  <si>
    <t>Navegantes</t>
  </si>
  <si>
    <t>Penha</t>
  </si>
  <si>
    <t>Gaspar</t>
  </si>
  <si>
    <t>Joinville</t>
  </si>
  <si>
    <t>Campo Alegre</t>
  </si>
  <si>
    <t>Rio Negrinho</t>
  </si>
  <si>
    <t>Mafra</t>
  </si>
  <si>
    <t>Rio Negro</t>
  </si>
  <si>
    <t>Itaiopolis</t>
  </si>
  <si>
    <t>Papanduva</t>
  </si>
  <si>
    <t>Araquari</t>
  </si>
  <si>
    <t>Balneario Barra Do Sul</t>
  </si>
  <si>
    <t>Monte Castelo</t>
  </si>
  <si>
    <t>Chapeco</t>
  </si>
  <si>
    <t>Xaxim</t>
  </si>
  <si>
    <t>Xanxere</t>
  </si>
  <si>
    <t>Seara</t>
  </si>
  <si>
    <t>Concordia</t>
  </si>
  <si>
    <t>Ponte Serrada</t>
  </si>
  <si>
    <t>Joacaba</t>
  </si>
  <si>
    <t>Campos Novos</t>
  </si>
  <si>
    <t>Videira</t>
  </si>
  <si>
    <t>Cacador</t>
  </si>
  <si>
    <t>Fraiburgo</t>
  </si>
  <si>
    <t>Uniao Da Vitoria</t>
  </si>
  <si>
    <t>Porto Uniao</t>
  </si>
  <si>
    <t>Canoinhas</t>
  </si>
  <si>
    <t>Tres Barras</t>
  </si>
  <si>
    <t>Curitibanos</t>
  </si>
  <si>
    <t>Lages</t>
  </si>
  <si>
    <t>Rio Do Sul</t>
  </si>
  <si>
    <t>Laurentino</t>
  </si>
  <si>
    <t>Ituporanga</t>
  </si>
  <si>
    <t>Lontras</t>
  </si>
  <si>
    <t>Ibirama</t>
  </si>
  <si>
    <t>Presidente Getulio</t>
  </si>
  <si>
    <t>Criciuma</t>
  </si>
  <si>
    <t>Ararangua</t>
  </si>
  <si>
    <t>Tubarao</t>
  </si>
  <si>
    <t>Balneario Rincao</t>
  </si>
  <si>
    <t>Icara</t>
  </si>
  <si>
    <t>Cocal Do Sul</t>
  </si>
  <si>
    <t>Morro Da Fumaca</t>
  </si>
  <si>
    <t>Sangao</t>
  </si>
  <si>
    <t>Jaguaruna</t>
  </si>
  <si>
    <t>São Ludgero</t>
  </si>
  <si>
    <t>Urussanga</t>
  </si>
  <si>
    <t>Laguna</t>
  </si>
  <si>
    <t>Imbituba</t>
  </si>
  <si>
    <t>Garopaba</t>
  </si>
  <si>
    <t>Braco Do Norte</t>
  </si>
  <si>
    <t>Capivari De Baixo</t>
  </si>
  <si>
    <t>Imarui</t>
  </si>
  <si>
    <t>Jacinto Machado</t>
  </si>
  <si>
    <t>Lauro Muller</t>
  </si>
  <si>
    <t>Nova Veneza</t>
  </si>
  <si>
    <t>Santa Rosa Do Sul</t>
  </si>
  <si>
    <t>Sideropolis</t>
  </si>
  <si>
    <t>Turvo</t>
  </si>
  <si>
    <t>Ilha</t>
  </si>
  <si>
    <t>Florianopolis</t>
  </si>
  <si>
    <t>Continente</t>
  </si>
  <si>
    <t>São Jose</t>
  </si>
  <si>
    <t>Palhoca</t>
  </si>
  <si>
    <t>Biguacu</t>
  </si>
  <si>
    <t>Santo Amaro Da Imperatriz</t>
  </si>
  <si>
    <t>Governador Celso Ramos</t>
  </si>
  <si>
    <t>Antonio Carlos</t>
  </si>
  <si>
    <t>Timbó</t>
  </si>
  <si>
    <t>Rio Dos Cedros</t>
  </si>
  <si>
    <t>Jaraguá Do Sul</t>
  </si>
  <si>
    <t>Corupá</t>
  </si>
  <si>
    <t>Balneário Camboriú</t>
  </si>
  <si>
    <t>Camboriú</t>
  </si>
  <si>
    <t>São João Batista</t>
  </si>
  <si>
    <t>Itajaí</t>
  </si>
  <si>
    <t>Balneário Piçarras</t>
  </si>
  <si>
    <t>São Francisco do Sul</t>
  </si>
  <si>
    <t>São Bento do Sul</t>
  </si>
  <si>
    <t>Campo do Tenente</t>
  </si>
  <si>
    <t>CidadeNormalizada</t>
  </si>
  <si>
    <t>Forquilhinha</t>
  </si>
  <si>
    <t>Treze De Maio</t>
  </si>
  <si>
    <t>Sombrio</t>
  </si>
  <si>
    <t>Balneario Arroio do Silva</t>
  </si>
  <si>
    <t>Orleans</t>
  </si>
  <si>
    <t>Herval d'Oeste</t>
  </si>
  <si>
    <t>Quitandinha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</si>
</sst>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2" fillId="3" borderId="0" xfId="0" applyFont="1" applyFill="1"/>
    <xf numFmtId="0" fontId="3" fillId="2" borderId="0" xfId="0" applyFont="1" applyFill="1"/>
    <xf numFmtId="0" fontId="4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D9"/>
  <sheetViews>
    <sheetView workbookViewId="0"/>
  </sheetViews>
  <sheetFormatPr defaultColWidth="12.5703125" defaultRowHeight="15.75" customHeight="1" x14ac:dyDescent="0.2"/>
  <cols>
    <col min="3" max="3" width="37.5703125" customWidth="1"/>
    <col min="4" max="4" width="17.42578125" customWidth="1"/>
  </cols>
  <sheetData>
    <row r="1" spans="1:4" x14ac:dyDescent="0.2">
      <c r="A1" s="1" t="s">
        <v>0</v>
      </c>
      <c r="B1" s="1" t="s">
        <v>1</v>
      </c>
      <c r="C1" s="2" t="s">
        <v>2</v>
      </c>
      <c r="D1" s="2" t="s">
        <v>3</v>
      </c>
    </row>
    <row r="2" spans="1:4" x14ac:dyDescent="0.2">
      <c r="A2" s="3" t="s">
        <v>4</v>
      </c>
      <c r="B2" s="3" t="s">
        <v>5</v>
      </c>
      <c r="C2" s="3" t="s">
        <v>6</v>
      </c>
      <c r="D2" s="3" t="s">
        <v>7</v>
      </c>
    </row>
    <row r="3" spans="1:4" x14ac:dyDescent="0.2">
      <c r="A3" s="3" t="s">
        <v>4</v>
      </c>
      <c r="B3" s="3" t="s">
        <v>8</v>
      </c>
      <c r="C3" s="3" t="s">
        <v>9</v>
      </c>
      <c r="D3" s="3" t="s">
        <v>10</v>
      </c>
    </row>
    <row r="4" spans="1:4" x14ac:dyDescent="0.2">
      <c r="A4" s="3" t="s">
        <v>4</v>
      </c>
      <c r="B4" s="3" t="s">
        <v>11</v>
      </c>
      <c r="C4" s="3" t="s">
        <v>12</v>
      </c>
      <c r="D4" s="3" t="s">
        <v>13</v>
      </c>
    </row>
    <row r="5" spans="1:4" x14ac:dyDescent="0.2">
      <c r="A5" s="3" t="s">
        <v>4</v>
      </c>
      <c r="B5" s="3" t="s">
        <v>14</v>
      </c>
      <c r="C5" s="3" t="s">
        <v>15</v>
      </c>
      <c r="D5" s="3" t="s">
        <v>16</v>
      </c>
    </row>
    <row r="6" spans="1:4" x14ac:dyDescent="0.2">
      <c r="A6" s="3" t="s">
        <v>4</v>
      </c>
      <c r="B6" s="3" t="s">
        <v>17</v>
      </c>
      <c r="C6" s="3" t="s">
        <v>18</v>
      </c>
      <c r="D6" s="3" t="s">
        <v>19</v>
      </c>
    </row>
    <row r="7" spans="1:4" x14ac:dyDescent="0.2">
      <c r="A7" s="3" t="s">
        <v>20</v>
      </c>
      <c r="B7" s="3" t="s">
        <v>21</v>
      </c>
      <c r="C7" s="3" t="s">
        <v>22</v>
      </c>
      <c r="D7" s="3" t="s">
        <v>23</v>
      </c>
    </row>
    <row r="8" spans="1:4" x14ac:dyDescent="0.2">
      <c r="A8" s="3" t="s">
        <v>20</v>
      </c>
      <c r="B8" s="3" t="s">
        <v>24</v>
      </c>
      <c r="C8" s="3" t="s">
        <v>25</v>
      </c>
      <c r="D8" s="3" t="s">
        <v>26</v>
      </c>
    </row>
    <row r="9" spans="1:4" x14ac:dyDescent="0.2">
      <c r="A9" s="3" t="s">
        <v>20</v>
      </c>
      <c r="B9" s="3" t="s">
        <v>27</v>
      </c>
      <c r="C9" s="3" t="s">
        <v>28</v>
      </c>
      <c r="D9" s="3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E102"/>
  <sheetViews>
    <sheetView tabSelected="1" workbookViewId="0">
      <selection activeCell="C104" sqref="C104"/>
    </sheetView>
  </sheetViews>
  <sheetFormatPr defaultColWidth="12.5703125" defaultRowHeight="15.75" customHeight="1" x14ac:dyDescent="0.2"/>
  <cols>
    <col min="1" max="1" width="25.7109375" customWidth="1"/>
    <col min="3" max="4" width="26.42578125" customWidth="1"/>
    <col min="5" max="5" width="35.28515625" customWidth="1"/>
    <col min="6" max="6" width="16.42578125" customWidth="1"/>
  </cols>
  <sheetData>
    <row r="1" spans="1:5" ht="12.75" x14ac:dyDescent="0.2">
      <c r="A1" s="1" t="s">
        <v>1</v>
      </c>
      <c r="B1" s="1" t="s">
        <v>30</v>
      </c>
      <c r="C1" s="1" t="s">
        <v>31</v>
      </c>
      <c r="D1" s="1" t="s">
        <v>32</v>
      </c>
      <c r="E1" s="9" t="s">
        <v>130</v>
      </c>
    </row>
    <row r="2" spans="1:5" ht="12.75" x14ac:dyDescent="0.2">
      <c r="A2" s="3" t="s">
        <v>27</v>
      </c>
      <c r="B2" s="3" t="s">
        <v>111</v>
      </c>
      <c r="C2" s="6" t="s">
        <v>117</v>
      </c>
      <c r="D2" s="3" t="s">
        <v>34</v>
      </c>
      <c r="E2" t="str">
        <f>REMOVERACENTOS(C2)</f>
        <v>Antonio Carlos</v>
      </c>
    </row>
    <row r="3" spans="1:5" ht="12.75" x14ac:dyDescent="0.2">
      <c r="A3" s="3" t="s">
        <v>14</v>
      </c>
      <c r="B3" s="3" t="s">
        <v>53</v>
      </c>
      <c r="C3" s="6" t="s">
        <v>60</v>
      </c>
      <c r="D3" s="3" t="s">
        <v>34</v>
      </c>
      <c r="E3" t="str">
        <f>REMOVERACENTOS(C3)</f>
        <v>Araquari</v>
      </c>
    </row>
    <row r="4" spans="1:5" ht="12.75" x14ac:dyDescent="0.2">
      <c r="A4" s="3" t="s">
        <v>21</v>
      </c>
      <c r="B4" s="3" t="s">
        <v>86</v>
      </c>
      <c r="C4" s="6" t="s">
        <v>87</v>
      </c>
      <c r="D4" s="3" t="s">
        <v>34</v>
      </c>
      <c r="E4" t="str">
        <f>REMOVERACENTOS(C4)</f>
        <v>Ararangua</v>
      </c>
    </row>
    <row r="5" spans="1:5" ht="12.75" x14ac:dyDescent="0.2">
      <c r="A5" s="3" t="s">
        <v>21</v>
      </c>
      <c r="B5" s="3" t="s">
        <v>86</v>
      </c>
      <c r="C5" s="7" t="s">
        <v>134</v>
      </c>
      <c r="D5" s="3" t="s">
        <v>34</v>
      </c>
      <c r="E5" t="str">
        <f>REMOVERACENTOS(C5)</f>
        <v>Balneario Arroio do Silva</v>
      </c>
    </row>
    <row r="6" spans="1:5" ht="14.25" customHeight="1" x14ac:dyDescent="0.2">
      <c r="A6" s="3" t="s">
        <v>14</v>
      </c>
      <c r="B6" s="3" t="s">
        <v>53</v>
      </c>
      <c r="C6" s="8" t="s">
        <v>61</v>
      </c>
      <c r="D6" s="3" t="s">
        <v>34</v>
      </c>
      <c r="E6" t="str">
        <f>REMOVERACENTOS(C6)</f>
        <v>Balneario Barra do Sul</v>
      </c>
    </row>
    <row r="7" spans="1:5" ht="12.75" x14ac:dyDescent="0.2">
      <c r="A7" s="3" t="s">
        <v>8</v>
      </c>
      <c r="B7" s="3" t="s">
        <v>40</v>
      </c>
      <c r="C7" s="6" t="s">
        <v>122</v>
      </c>
      <c r="D7" s="3" t="s">
        <v>34</v>
      </c>
      <c r="E7" t="str">
        <f t="shared" ref="E7:E66" si="0">REMOVERACENTOS(C7)</f>
        <v>Balneario Camboriu</v>
      </c>
    </row>
    <row r="8" spans="1:5" ht="12.75" x14ac:dyDescent="0.2">
      <c r="A8" s="3" t="s">
        <v>11</v>
      </c>
      <c r="B8" s="3" t="s">
        <v>48</v>
      </c>
      <c r="C8" s="6" t="s">
        <v>126</v>
      </c>
      <c r="D8" s="3" t="s">
        <v>34</v>
      </c>
      <c r="E8" t="str">
        <f>REMOVERACENTOS(C8)</f>
        <v>Balneario Picarras</v>
      </c>
    </row>
    <row r="9" spans="1:5" ht="12.75" x14ac:dyDescent="0.2">
      <c r="A9" s="3" t="s">
        <v>21</v>
      </c>
      <c r="B9" s="3" t="s">
        <v>86</v>
      </c>
      <c r="C9" s="6" t="s">
        <v>89</v>
      </c>
      <c r="D9" s="3" t="s">
        <v>34</v>
      </c>
      <c r="E9" t="str">
        <f t="shared" si="0"/>
        <v>Balneario Rincao</v>
      </c>
    </row>
    <row r="10" spans="1:5" ht="12.75" x14ac:dyDescent="0.2">
      <c r="A10" s="3" t="s">
        <v>27</v>
      </c>
      <c r="B10" s="3" t="s">
        <v>111</v>
      </c>
      <c r="C10" s="4" t="s">
        <v>114</v>
      </c>
      <c r="D10" s="3" t="s">
        <v>34</v>
      </c>
      <c r="E10" t="str">
        <f t="shared" si="0"/>
        <v>Biguacu</v>
      </c>
    </row>
    <row r="11" spans="1:5" ht="12.75" x14ac:dyDescent="0.2">
      <c r="A11" s="3" t="s">
        <v>5</v>
      </c>
      <c r="B11" s="3" t="s">
        <v>33</v>
      </c>
      <c r="C11" s="4" t="s">
        <v>33</v>
      </c>
      <c r="D11" s="3" t="s">
        <v>34</v>
      </c>
      <c r="E11" t="str">
        <f t="shared" si="0"/>
        <v>Blumenau</v>
      </c>
    </row>
    <row r="12" spans="1:5" ht="12.75" x14ac:dyDescent="0.2">
      <c r="A12" s="3" t="s">
        <v>8</v>
      </c>
      <c r="B12" s="3" t="s">
        <v>40</v>
      </c>
      <c r="C12" s="4" t="s">
        <v>43</v>
      </c>
      <c r="D12" s="3" t="s">
        <v>34</v>
      </c>
      <c r="E12" t="str">
        <f t="shared" si="0"/>
        <v>Bombinhas</v>
      </c>
    </row>
    <row r="13" spans="1:5" ht="12.75" x14ac:dyDescent="0.2">
      <c r="A13" s="3" t="s">
        <v>21</v>
      </c>
      <c r="B13" s="3" t="s">
        <v>86</v>
      </c>
      <c r="C13" s="4" t="s">
        <v>100</v>
      </c>
      <c r="D13" s="3" t="s">
        <v>34</v>
      </c>
      <c r="E13" t="str">
        <f>REMOVERACENTOS(C13)</f>
        <v>Braco do Norte</v>
      </c>
    </row>
    <row r="14" spans="1:5" ht="12.75" x14ac:dyDescent="0.2">
      <c r="A14" s="3" t="s">
        <v>8</v>
      </c>
      <c r="B14" s="3" t="s">
        <v>40</v>
      </c>
      <c r="C14" s="4" t="s">
        <v>47</v>
      </c>
      <c r="D14" s="3" t="s">
        <v>34</v>
      </c>
      <c r="E14" t="str">
        <f t="shared" si="0"/>
        <v>Brusque</v>
      </c>
    </row>
    <row r="15" spans="1:5" ht="12.75" x14ac:dyDescent="0.2">
      <c r="A15" s="3" t="s">
        <v>17</v>
      </c>
      <c r="B15" s="3" t="s">
        <v>63</v>
      </c>
      <c r="C15" s="4" t="s">
        <v>72</v>
      </c>
      <c r="D15" s="3" t="s">
        <v>34</v>
      </c>
      <c r="E15" t="str">
        <f t="shared" si="0"/>
        <v>Cacador</v>
      </c>
    </row>
    <row r="16" spans="1:5" ht="12.75" x14ac:dyDescent="0.2">
      <c r="A16" s="3" t="s">
        <v>8</v>
      </c>
      <c r="B16" s="3" t="s">
        <v>40</v>
      </c>
      <c r="C16" s="4" t="s">
        <v>123</v>
      </c>
      <c r="D16" s="3" t="s">
        <v>34</v>
      </c>
      <c r="E16" t="str">
        <f t="shared" si="0"/>
        <v>Camboriu</v>
      </c>
    </row>
    <row r="17" spans="1:5" ht="12.75" x14ac:dyDescent="0.2">
      <c r="A17" s="3" t="s">
        <v>14</v>
      </c>
      <c r="B17" s="3" t="s">
        <v>53</v>
      </c>
      <c r="C17" s="4" t="s">
        <v>54</v>
      </c>
      <c r="D17" s="3" t="s">
        <v>34</v>
      </c>
      <c r="E17" t="str">
        <f t="shared" si="0"/>
        <v>Campo Alegre</v>
      </c>
    </row>
    <row r="18" spans="1:5" ht="12.75" x14ac:dyDescent="0.2">
      <c r="A18" s="3" t="s">
        <v>14</v>
      </c>
      <c r="B18" s="3" t="s">
        <v>53</v>
      </c>
      <c r="C18" s="5" t="s">
        <v>129</v>
      </c>
      <c r="D18" s="3" t="s">
        <v>34</v>
      </c>
      <c r="E18" t="str">
        <f t="shared" si="0"/>
        <v>Campo do Tenente</v>
      </c>
    </row>
    <row r="19" spans="1:5" ht="12.75" x14ac:dyDescent="0.2">
      <c r="A19" s="3" t="s">
        <v>17</v>
      </c>
      <c r="B19" s="3" t="s">
        <v>63</v>
      </c>
      <c r="C19" s="4" t="s">
        <v>70</v>
      </c>
      <c r="D19" s="3" t="s">
        <v>34</v>
      </c>
      <c r="E19" t="str">
        <f t="shared" si="0"/>
        <v>Campos Novos</v>
      </c>
    </row>
    <row r="20" spans="1:5" ht="12.75" x14ac:dyDescent="0.2">
      <c r="A20" s="3" t="s">
        <v>8</v>
      </c>
      <c r="B20" s="3" t="s">
        <v>40</v>
      </c>
      <c r="C20" s="4" t="s">
        <v>45</v>
      </c>
      <c r="D20" s="3" t="s">
        <v>34</v>
      </c>
      <c r="E20" t="str">
        <f t="shared" si="0"/>
        <v>Canelinha</v>
      </c>
    </row>
    <row r="21" spans="1:5" ht="12.75" x14ac:dyDescent="0.2">
      <c r="A21" s="3" t="s">
        <v>17</v>
      </c>
      <c r="B21" s="3" t="s">
        <v>63</v>
      </c>
      <c r="C21" s="4" t="s">
        <v>76</v>
      </c>
      <c r="D21" s="3" t="s">
        <v>34</v>
      </c>
      <c r="E21" t="str">
        <f t="shared" si="0"/>
        <v>Canoinhas</v>
      </c>
    </row>
    <row r="22" spans="1:5" ht="12.75" x14ac:dyDescent="0.2">
      <c r="A22" s="3" t="s">
        <v>21</v>
      </c>
      <c r="B22" s="3" t="s">
        <v>86</v>
      </c>
      <c r="C22" s="4" t="s">
        <v>101</v>
      </c>
      <c r="D22" s="3" t="s">
        <v>34</v>
      </c>
      <c r="E22" t="str">
        <f>REMOVERACENTOS(C22)</f>
        <v>Capivari de Baixo</v>
      </c>
    </row>
    <row r="23" spans="1:5" ht="12.75" x14ac:dyDescent="0.2">
      <c r="A23" s="3" t="s">
        <v>17</v>
      </c>
      <c r="B23" s="3" t="s">
        <v>63</v>
      </c>
      <c r="C23" s="5" t="s">
        <v>63</v>
      </c>
      <c r="D23" s="3" t="s">
        <v>34</v>
      </c>
      <c r="E23" t="str">
        <f t="shared" si="0"/>
        <v>Chapeco</v>
      </c>
    </row>
    <row r="24" spans="1:5" ht="12.75" x14ac:dyDescent="0.2">
      <c r="A24" s="3" t="s">
        <v>21</v>
      </c>
      <c r="B24" s="3" t="s">
        <v>86</v>
      </c>
      <c r="C24" s="4" t="s">
        <v>91</v>
      </c>
      <c r="D24" s="3" t="s">
        <v>34</v>
      </c>
      <c r="E24" t="str">
        <f>REMOVERACENTOS(C24)</f>
        <v>Cocal do Sul</v>
      </c>
    </row>
    <row r="25" spans="1:5" ht="12.75" x14ac:dyDescent="0.2">
      <c r="A25" s="3" t="s">
        <v>17</v>
      </c>
      <c r="B25" s="3" t="s">
        <v>63</v>
      </c>
      <c r="C25" s="4" t="s">
        <v>67</v>
      </c>
      <c r="D25" s="3" t="s">
        <v>34</v>
      </c>
      <c r="E25" t="str">
        <f t="shared" si="0"/>
        <v>Concordia</v>
      </c>
    </row>
    <row r="26" spans="1:5" ht="12.75" x14ac:dyDescent="0.2">
      <c r="A26" s="3" t="s">
        <v>5</v>
      </c>
      <c r="B26" s="3" t="s">
        <v>33</v>
      </c>
      <c r="C26" s="4" t="s">
        <v>121</v>
      </c>
      <c r="D26" s="3" t="s">
        <v>34</v>
      </c>
      <c r="E26" t="str">
        <f t="shared" si="0"/>
        <v>Corupa</v>
      </c>
    </row>
    <row r="27" spans="1:5" ht="12.75" x14ac:dyDescent="0.2">
      <c r="A27" s="3" t="s">
        <v>21</v>
      </c>
      <c r="B27" s="3" t="s">
        <v>86</v>
      </c>
      <c r="C27" s="4" t="s">
        <v>86</v>
      </c>
      <c r="D27" s="3" t="s">
        <v>34</v>
      </c>
      <c r="E27" t="str">
        <f t="shared" si="0"/>
        <v>Criciuma</v>
      </c>
    </row>
    <row r="28" spans="1:5" ht="12.75" x14ac:dyDescent="0.2">
      <c r="A28" s="3" t="s">
        <v>17</v>
      </c>
      <c r="B28" s="3" t="s">
        <v>63</v>
      </c>
      <c r="C28" s="4" t="s">
        <v>78</v>
      </c>
      <c r="D28" s="3" t="s">
        <v>34</v>
      </c>
      <c r="E28" t="str">
        <f t="shared" si="0"/>
        <v>Curitibanos</v>
      </c>
    </row>
    <row r="29" spans="1:5" ht="12.75" x14ac:dyDescent="0.2">
      <c r="A29" s="3" t="s">
        <v>24</v>
      </c>
      <c r="B29" s="3" t="s">
        <v>109</v>
      </c>
      <c r="C29" s="4" t="s">
        <v>110</v>
      </c>
      <c r="D29" s="3" t="s">
        <v>34</v>
      </c>
      <c r="E29" t="str">
        <f t="shared" si="0"/>
        <v>Florianopolis</v>
      </c>
    </row>
    <row r="30" spans="1:5" ht="12.75" x14ac:dyDescent="0.2">
      <c r="A30" s="3" t="s">
        <v>21</v>
      </c>
      <c r="B30" s="3" t="s">
        <v>86</v>
      </c>
      <c r="C30" s="4" t="s">
        <v>131</v>
      </c>
      <c r="D30" s="3" t="s">
        <v>34</v>
      </c>
      <c r="E30" t="str">
        <f t="shared" si="0"/>
        <v>Forquilhinha</v>
      </c>
    </row>
    <row r="31" spans="1:5" ht="12.75" x14ac:dyDescent="0.2">
      <c r="A31" s="3" t="s">
        <v>17</v>
      </c>
      <c r="B31" s="3" t="s">
        <v>63</v>
      </c>
      <c r="C31" s="4" t="s">
        <v>73</v>
      </c>
      <c r="D31" s="3" t="s">
        <v>34</v>
      </c>
      <c r="E31" t="str">
        <f t="shared" si="0"/>
        <v>Fraiburgo</v>
      </c>
    </row>
    <row r="32" spans="1:5" ht="12.75" x14ac:dyDescent="0.2">
      <c r="A32" s="3" t="s">
        <v>21</v>
      </c>
      <c r="B32" s="3" t="s">
        <v>86</v>
      </c>
      <c r="C32" s="4" t="s">
        <v>99</v>
      </c>
      <c r="D32" s="3" t="s">
        <v>34</v>
      </c>
      <c r="E32" t="str">
        <f t="shared" si="0"/>
        <v>Garopaba</v>
      </c>
    </row>
    <row r="33" spans="1:5" ht="12.75" x14ac:dyDescent="0.2">
      <c r="A33" s="3" t="s">
        <v>11</v>
      </c>
      <c r="B33" s="3" t="s">
        <v>48</v>
      </c>
      <c r="C33" s="4" t="s">
        <v>52</v>
      </c>
      <c r="D33" s="3" t="s">
        <v>34</v>
      </c>
      <c r="E33" t="str">
        <f t="shared" si="0"/>
        <v>Gaspar</v>
      </c>
    </row>
    <row r="34" spans="1:5" ht="12.75" x14ac:dyDescent="0.2">
      <c r="A34" s="3" t="s">
        <v>27</v>
      </c>
      <c r="B34" s="3" t="s">
        <v>111</v>
      </c>
      <c r="C34" s="4" t="s">
        <v>116</v>
      </c>
      <c r="D34" s="3" t="s">
        <v>34</v>
      </c>
      <c r="E34" t="str">
        <f t="shared" si="0"/>
        <v>Governador Celso Ramos</v>
      </c>
    </row>
    <row r="35" spans="1:5" ht="12.75" x14ac:dyDescent="0.2">
      <c r="A35" s="3" t="s">
        <v>5</v>
      </c>
      <c r="B35" s="3" t="s">
        <v>33</v>
      </c>
      <c r="C35" s="4" t="s">
        <v>38</v>
      </c>
      <c r="D35" s="3" t="s">
        <v>34</v>
      </c>
      <c r="E35" t="str">
        <f t="shared" si="0"/>
        <v>Guaramirim</v>
      </c>
    </row>
    <row r="36" spans="1:5" ht="12.75" x14ac:dyDescent="0.2">
      <c r="A36" s="3" t="s">
        <v>17</v>
      </c>
      <c r="B36" s="3" t="s">
        <v>63</v>
      </c>
      <c r="C36" s="4" t="s">
        <v>136</v>
      </c>
      <c r="D36" s="3" t="s">
        <v>34</v>
      </c>
      <c r="E36" t="str">
        <f>REMOVERACENTOS(C36)</f>
        <v>Herval d'Oeste</v>
      </c>
    </row>
    <row r="37" spans="1:5" ht="12.75" x14ac:dyDescent="0.2">
      <c r="A37" s="3" t="s">
        <v>17</v>
      </c>
      <c r="B37" s="3" t="s">
        <v>63</v>
      </c>
      <c r="C37" s="4" t="s">
        <v>84</v>
      </c>
      <c r="D37" s="3" t="s">
        <v>34</v>
      </c>
      <c r="E37" t="str">
        <f t="shared" si="0"/>
        <v>Ibirama</v>
      </c>
    </row>
    <row r="38" spans="1:5" ht="12.75" x14ac:dyDescent="0.2">
      <c r="A38" s="3" t="s">
        <v>21</v>
      </c>
      <c r="B38" s="3" t="s">
        <v>86</v>
      </c>
      <c r="C38" s="4" t="s">
        <v>90</v>
      </c>
      <c r="D38" s="3" t="s">
        <v>34</v>
      </c>
      <c r="E38" t="str">
        <f t="shared" si="0"/>
        <v>Icara</v>
      </c>
    </row>
    <row r="39" spans="1:5" ht="12.75" x14ac:dyDescent="0.2">
      <c r="A39" s="3" t="s">
        <v>21</v>
      </c>
      <c r="B39" s="3" t="s">
        <v>86</v>
      </c>
      <c r="C39" s="4" t="s">
        <v>102</v>
      </c>
      <c r="D39" s="3" t="s">
        <v>34</v>
      </c>
      <c r="E39" t="str">
        <f t="shared" si="0"/>
        <v>Imarui</v>
      </c>
    </row>
    <row r="40" spans="1:5" ht="12.75" x14ac:dyDescent="0.2">
      <c r="A40" s="3" t="s">
        <v>21</v>
      </c>
      <c r="B40" s="3" t="s">
        <v>86</v>
      </c>
      <c r="C40" s="4" t="s">
        <v>98</v>
      </c>
      <c r="D40" s="3" t="s">
        <v>34</v>
      </c>
      <c r="E40" t="str">
        <f t="shared" si="0"/>
        <v>Imbituba</v>
      </c>
    </row>
    <row r="41" spans="1:5" ht="12.75" x14ac:dyDescent="0.2">
      <c r="A41" s="3" t="s">
        <v>5</v>
      </c>
      <c r="B41" s="3" t="s">
        <v>33</v>
      </c>
      <c r="C41" s="4" t="s">
        <v>35</v>
      </c>
      <c r="D41" s="3" t="s">
        <v>34</v>
      </c>
      <c r="E41" t="str">
        <f t="shared" si="0"/>
        <v>Indaial</v>
      </c>
    </row>
    <row r="42" spans="1:5" ht="12.75" x14ac:dyDescent="0.2">
      <c r="A42" s="3" t="s">
        <v>14</v>
      </c>
      <c r="B42" s="3" t="s">
        <v>53</v>
      </c>
      <c r="C42" s="4" t="s">
        <v>58</v>
      </c>
      <c r="D42" s="3" t="s">
        <v>34</v>
      </c>
      <c r="E42" t="str">
        <f t="shared" si="0"/>
        <v>Itaiopolis</v>
      </c>
    </row>
    <row r="43" spans="1:5" ht="12.75" x14ac:dyDescent="0.2">
      <c r="A43" s="3" t="s">
        <v>11</v>
      </c>
      <c r="B43" s="3" t="s">
        <v>48</v>
      </c>
      <c r="C43" s="4" t="s">
        <v>125</v>
      </c>
      <c r="D43" s="3" t="s">
        <v>34</v>
      </c>
      <c r="E43" t="str">
        <f t="shared" si="0"/>
        <v>Itajai</v>
      </c>
    </row>
    <row r="44" spans="1:5" ht="12.75" x14ac:dyDescent="0.2">
      <c r="A44" s="3" t="s">
        <v>8</v>
      </c>
      <c r="B44" s="3" t="s">
        <v>40</v>
      </c>
      <c r="C44" s="4" t="s">
        <v>41</v>
      </c>
      <c r="D44" s="3" t="s">
        <v>34</v>
      </c>
      <c r="E44" t="str">
        <f t="shared" si="0"/>
        <v>Itapema</v>
      </c>
    </row>
    <row r="45" spans="1:5" ht="12.75" x14ac:dyDescent="0.2">
      <c r="A45" s="3" t="s">
        <v>17</v>
      </c>
      <c r="B45" s="3" t="s">
        <v>63</v>
      </c>
      <c r="C45" s="4" t="s">
        <v>82</v>
      </c>
      <c r="D45" s="3" t="s">
        <v>34</v>
      </c>
      <c r="E45" t="str">
        <f t="shared" si="0"/>
        <v>Ituporanga</v>
      </c>
    </row>
    <row r="46" spans="1:5" ht="12.75" x14ac:dyDescent="0.2">
      <c r="A46" s="3" t="s">
        <v>21</v>
      </c>
      <c r="B46" s="3" t="s">
        <v>86</v>
      </c>
      <c r="C46" s="4" t="s">
        <v>103</v>
      </c>
      <c r="D46" s="3" t="s">
        <v>34</v>
      </c>
      <c r="E46" t="str">
        <f t="shared" si="0"/>
        <v>Jacinto Machado</v>
      </c>
    </row>
    <row r="47" spans="1:5" ht="12.75" x14ac:dyDescent="0.2">
      <c r="A47" s="3" t="s">
        <v>21</v>
      </c>
      <c r="B47" s="3" t="s">
        <v>86</v>
      </c>
      <c r="C47" s="4" t="s">
        <v>94</v>
      </c>
      <c r="D47" s="3" t="s">
        <v>34</v>
      </c>
      <c r="E47" t="str">
        <f t="shared" si="0"/>
        <v>Jaguaruna</v>
      </c>
    </row>
    <row r="48" spans="1:5" ht="12.75" x14ac:dyDescent="0.2">
      <c r="A48" s="3" t="s">
        <v>5</v>
      </c>
      <c r="B48" s="3" t="s">
        <v>33</v>
      </c>
      <c r="C48" s="4" t="s">
        <v>120</v>
      </c>
      <c r="D48" s="3" t="s">
        <v>34</v>
      </c>
      <c r="E48" t="str">
        <f>REMOVERACENTOS(C48)</f>
        <v>Jaragua do Sul</v>
      </c>
    </row>
    <row r="49" spans="1:5" ht="12.75" x14ac:dyDescent="0.2">
      <c r="A49" s="3" t="s">
        <v>17</v>
      </c>
      <c r="B49" s="3" t="s">
        <v>63</v>
      </c>
      <c r="C49" s="4" t="s">
        <v>69</v>
      </c>
      <c r="D49" s="3" t="s">
        <v>34</v>
      </c>
      <c r="E49" t="str">
        <f t="shared" si="0"/>
        <v>Joacaba</v>
      </c>
    </row>
    <row r="50" spans="1:5" ht="12.75" x14ac:dyDescent="0.2">
      <c r="A50" s="3" t="s">
        <v>14</v>
      </c>
      <c r="B50" s="3" t="s">
        <v>53</v>
      </c>
      <c r="C50" s="4" t="s">
        <v>53</v>
      </c>
      <c r="D50" s="3" t="s">
        <v>34</v>
      </c>
      <c r="E50" t="str">
        <f t="shared" si="0"/>
        <v>Joinville</v>
      </c>
    </row>
    <row r="51" spans="1:5" ht="12.75" x14ac:dyDescent="0.2">
      <c r="A51" s="3" t="s">
        <v>17</v>
      </c>
      <c r="B51" s="3" t="s">
        <v>63</v>
      </c>
      <c r="C51" s="4" t="s">
        <v>79</v>
      </c>
      <c r="D51" s="3" t="s">
        <v>34</v>
      </c>
      <c r="E51" t="str">
        <f t="shared" si="0"/>
        <v>Lages</v>
      </c>
    </row>
    <row r="52" spans="1:5" ht="12.75" x14ac:dyDescent="0.2">
      <c r="A52" s="3" t="s">
        <v>21</v>
      </c>
      <c r="B52" s="3" t="s">
        <v>86</v>
      </c>
      <c r="C52" s="4" t="s">
        <v>97</v>
      </c>
      <c r="D52" s="3" t="s">
        <v>34</v>
      </c>
      <c r="E52" t="str">
        <f t="shared" si="0"/>
        <v>Laguna</v>
      </c>
    </row>
    <row r="53" spans="1:5" ht="12.75" x14ac:dyDescent="0.2">
      <c r="A53" s="3" t="s">
        <v>17</v>
      </c>
      <c r="B53" s="3" t="s">
        <v>63</v>
      </c>
      <c r="C53" s="4" t="s">
        <v>81</v>
      </c>
      <c r="D53" s="3" t="s">
        <v>34</v>
      </c>
      <c r="E53" t="str">
        <f t="shared" si="0"/>
        <v>Laurentino</v>
      </c>
    </row>
    <row r="54" spans="1:5" ht="12.75" x14ac:dyDescent="0.2">
      <c r="A54" s="3" t="s">
        <v>21</v>
      </c>
      <c r="B54" s="3" t="s">
        <v>86</v>
      </c>
      <c r="C54" s="4" t="s">
        <v>104</v>
      </c>
      <c r="D54" s="3" t="s">
        <v>34</v>
      </c>
      <c r="E54" t="str">
        <f t="shared" si="0"/>
        <v>Lauro Muller</v>
      </c>
    </row>
    <row r="55" spans="1:5" ht="12.75" x14ac:dyDescent="0.2">
      <c r="A55" s="3" t="s">
        <v>17</v>
      </c>
      <c r="B55" s="3" t="s">
        <v>63</v>
      </c>
      <c r="C55" s="4" t="s">
        <v>83</v>
      </c>
      <c r="D55" s="3" t="s">
        <v>34</v>
      </c>
      <c r="E55" t="str">
        <f t="shared" si="0"/>
        <v>Lontras</v>
      </c>
    </row>
    <row r="56" spans="1:5" ht="12.75" x14ac:dyDescent="0.2">
      <c r="A56" s="3" t="s">
        <v>11</v>
      </c>
      <c r="B56" s="3" t="s">
        <v>48</v>
      </c>
      <c r="C56" s="4" t="s">
        <v>49</v>
      </c>
      <c r="D56" s="3" t="s">
        <v>34</v>
      </c>
      <c r="E56" t="str">
        <f t="shared" si="0"/>
        <v>Luiz Alves</v>
      </c>
    </row>
    <row r="57" spans="1:5" ht="12.75" x14ac:dyDescent="0.2">
      <c r="A57" s="3" t="s">
        <v>14</v>
      </c>
      <c r="B57" s="3" t="s">
        <v>53</v>
      </c>
      <c r="C57" s="4" t="s">
        <v>56</v>
      </c>
      <c r="D57" s="3" t="s">
        <v>34</v>
      </c>
      <c r="E57" t="str">
        <f t="shared" si="0"/>
        <v>Mafra</v>
      </c>
    </row>
    <row r="58" spans="1:5" ht="12.75" x14ac:dyDescent="0.2">
      <c r="A58" s="3" t="s">
        <v>5</v>
      </c>
      <c r="B58" s="3" t="s">
        <v>33</v>
      </c>
      <c r="C58" s="4" t="s">
        <v>39</v>
      </c>
      <c r="D58" s="3" t="s">
        <v>34</v>
      </c>
      <c r="E58" t="str">
        <f t="shared" si="0"/>
        <v>Massaranduba</v>
      </c>
    </row>
    <row r="59" spans="1:5" ht="12.75" x14ac:dyDescent="0.2">
      <c r="A59" s="3" t="s">
        <v>14</v>
      </c>
      <c r="B59" s="3" t="s">
        <v>53</v>
      </c>
      <c r="C59" s="4" t="s">
        <v>62</v>
      </c>
      <c r="D59" s="3" t="s">
        <v>34</v>
      </c>
      <c r="E59" t="str">
        <f t="shared" si="0"/>
        <v>Monte Castelo</v>
      </c>
    </row>
    <row r="60" spans="1:5" ht="12.75" x14ac:dyDescent="0.2">
      <c r="A60" s="3" t="s">
        <v>21</v>
      </c>
      <c r="B60" s="3" t="s">
        <v>86</v>
      </c>
      <c r="C60" s="4" t="s">
        <v>92</v>
      </c>
      <c r="D60" s="3" t="s">
        <v>34</v>
      </c>
      <c r="E60" t="str">
        <f>REMOVERACENTOS(C60)</f>
        <v>Morro da Fumaca</v>
      </c>
    </row>
    <row r="61" spans="1:5" ht="12.75" x14ac:dyDescent="0.2">
      <c r="A61" s="3" t="s">
        <v>11</v>
      </c>
      <c r="B61" s="3" t="s">
        <v>48</v>
      </c>
      <c r="C61" s="4" t="s">
        <v>50</v>
      </c>
      <c r="D61" s="3" t="s">
        <v>34</v>
      </c>
      <c r="E61" t="str">
        <f t="shared" si="0"/>
        <v>Navegantes</v>
      </c>
    </row>
    <row r="62" spans="1:5" ht="12.75" x14ac:dyDescent="0.2">
      <c r="A62" s="3" t="s">
        <v>21</v>
      </c>
      <c r="B62" s="3" t="s">
        <v>86</v>
      </c>
      <c r="C62" s="4" t="s">
        <v>135</v>
      </c>
      <c r="D62" s="3" t="s">
        <v>34</v>
      </c>
      <c r="E62" t="str">
        <f t="shared" si="0"/>
        <v>Orleans</v>
      </c>
    </row>
    <row r="63" spans="1:5" ht="12.75" x14ac:dyDescent="0.2">
      <c r="A63" s="3" t="s">
        <v>8</v>
      </c>
      <c r="B63" s="3" t="s">
        <v>40</v>
      </c>
      <c r="C63" s="4" t="s">
        <v>46</v>
      </c>
      <c r="D63" s="3" t="s">
        <v>34</v>
      </c>
      <c r="E63" t="str">
        <f t="shared" si="0"/>
        <v>Nova Trento</v>
      </c>
    </row>
    <row r="64" spans="1:5" ht="12.75" x14ac:dyDescent="0.2">
      <c r="A64" s="3" t="s">
        <v>21</v>
      </c>
      <c r="B64" s="3" t="s">
        <v>86</v>
      </c>
      <c r="C64" s="4" t="s">
        <v>105</v>
      </c>
      <c r="D64" s="3" t="s">
        <v>34</v>
      </c>
      <c r="E64" t="str">
        <f t="shared" si="0"/>
        <v>Nova Veneza</v>
      </c>
    </row>
    <row r="65" spans="1:5" ht="12.75" x14ac:dyDescent="0.2">
      <c r="A65" s="3" t="s">
        <v>27</v>
      </c>
      <c r="B65" s="3" t="s">
        <v>111</v>
      </c>
      <c r="C65" s="4" t="s">
        <v>113</v>
      </c>
      <c r="D65" s="3" t="s">
        <v>34</v>
      </c>
      <c r="E65" t="str">
        <f t="shared" si="0"/>
        <v>Palhoca</v>
      </c>
    </row>
    <row r="66" spans="1:5" ht="12.75" x14ac:dyDescent="0.2">
      <c r="A66" s="3" t="s">
        <v>14</v>
      </c>
      <c r="B66" s="3" t="s">
        <v>53</v>
      </c>
      <c r="C66" s="4" t="s">
        <v>59</v>
      </c>
      <c r="D66" s="3" t="s">
        <v>34</v>
      </c>
      <c r="E66" t="str">
        <f t="shared" si="0"/>
        <v>Papanduva</v>
      </c>
    </row>
    <row r="67" spans="1:5" ht="12.75" x14ac:dyDescent="0.2">
      <c r="A67" s="3" t="s">
        <v>11</v>
      </c>
      <c r="B67" s="3" t="s">
        <v>48</v>
      </c>
      <c r="C67" s="4" t="s">
        <v>51</v>
      </c>
      <c r="D67" s="3" t="s">
        <v>34</v>
      </c>
      <c r="E67" t="str">
        <f t="shared" ref="E67:E102" si="1">REMOVERACENTOS(C67)</f>
        <v>Penha</v>
      </c>
    </row>
    <row r="68" spans="1:5" ht="12.75" x14ac:dyDescent="0.2">
      <c r="A68" s="3" t="s">
        <v>11</v>
      </c>
      <c r="B68" s="3" t="s">
        <v>48</v>
      </c>
      <c r="C68" s="4" t="s">
        <v>51</v>
      </c>
      <c r="D68" s="3" t="s">
        <v>34</v>
      </c>
      <c r="E68" t="str">
        <f t="shared" si="1"/>
        <v>Penha</v>
      </c>
    </row>
    <row r="69" spans="1:5" ht="12.75" x14ac:dyDescent="0.2">
      <c r="A69" s="3" t="s">
        <v>17</v>
      </c>
      <c r="B69" s="3" t="s">
        <v>63</v>
      </c>
      <c r="C69" s="4" t="s">
        <v>68</v>
      </c>
      <c r="D69" s="3" t="s">
        <v>34</v>
      </c>
      <c r="E69" t="str">
        <f t="shared" si="1"/>
        <v>Ponte Serrada</v>
      </c>
    </row>
    <row r="70" spans="1:5" ht="12.75" x14ac:dyDescent="0.2">
      <c r="A70" s="3" t="s">
        <v>8</v>
      </c>
      <c r="B70" s="3" t="s">
        <v>40</v>
      </c>
      <c r="C70" s="4" t="s">
        <v>42</v>
      </c>
      <c r="D70" s="3" t="s">
        <v>34</v>
      </c>
      <c r="E70" t="str">
        <f t="shared" si="1"/>
        <v>Porto Belo</v>
      </c>
    </row>
    <row r="71" spans="1:5" ht="12.75" x14ac:dyDescent="0.2">
      <c r="A71" s="3" t="s">
        <v>17</v>
      </c>
      <c r="B71" s="3" t="s">
        <v>63</v>
      </c>
      <c r="C71" s="4" t="s">
        <v>75</v>
      </c>
      <c r="D71" s="3" t="s">
        <v>34</v>
      </c>
      <c r="E71" t="str">
        <f t="shared" si="1"/>
        <v>Porto Uniao</v>
      </c>
    </row>
    <row r="72" spans="1:5" ht="12.75" x14ac:dyDescent="0.2">
      <c r="A72" s="3" t="s">
        <v>17</v>
      </c>
      <c r="B72" s="3" t="s">
        <v>63</v>
      </c>
      <c r="C72" s="4" t="s">
        <v>85</v>
      </c>
      <c r="D72" s="3" t="s">
        <v>34</v>
      </c>
      <c r="E72" t="str">
        <f t="shared" si="1"/>
        <v>Presidente Getulio</v>
      </c>
    </row>
    <row r="73" spans="1:5" ht="12.75" x14ac:dyDescent="0.2">
      <c r="A73" s="3" t="s">
        <v>14</v>
      </c>
      <c r="B73" s="3" t="s">
        <v>53</v>
      </c>
      <c r="C73" s="4" t="s">
        <v>137</v>
      </c>
      <c r="D73" s="3" t="s">
        <v>34</v>
      </c>
      <c r="E73" t="str">
        <f>REMOVERACENTOS(C73)</f>
        <v>Quitandinha</v>
      </c>
    </row>
    <row r="74" spans="1:5" ht="12.75" x14ac:dyDescent="0.2">
      <c r="A74" s="3" t="s">
        <v>17</v>
      </c>
      <c r="B74" s="3" t="s">
        <v>63</v>
      </c>
      <c r="C74" s="4" t="s">
        <v>80</v>
      </c>
      <c r="D74" s="3" t="s">
        <v>34</v>
      </c>
      <c r="E74" t="str">
        <f>REMOVERACENTOS(C74)</f>
        <v>Rio do Sul</v>
      </c>
    </row>
    <row r="75" spans="1:5" ht="12.75" x14ac:dyDescent="0.2">
      <c r="A75" s="3" t="s">
        <v>5</v>
      </c>
      <c r="B75" s="3" t="s">
        <v>33</v>
      </c>
      <c r="C75" s="4" t="s">
        <v>119</v>
      </c>
      <c r="D75" s="3" t="s">
        <v>34</v>
      </c>
      <c r="E75" t="str">
        <f>REMOVERACENTOS(C75)</f>
        <v>Rio dos Cedros</v>
      </c>
    </row>
    <row r="76" spans="1:5" ht="12.75" x14ac:dyDescent="0.2">
      <c r="A76" s="3" t="s">
        <v>14</v>
      </c>
      <c r="B76" s="3" t="s">
        <v>53</v>
      </c>
      <c r="C76" s="4" t="s">
        <v>55</v>
      </c>
      <c r="D76" s="3" t="s">
        <v>34</v>
      </c>
      <c r="E76" t="str">
        <f t="shared" si="1"/>
        <v>Rio Negrinho</v>
      </c>
    </row>
    <row r="77" spans="1:5" ht="12.75" x14ac:dyDescent="0.2">
      <c r="A77" s="3" t="s">
        <v>14</v>
      </c>
      <c r="B77" s="3" t="s">
        <v>53</v>
      </c>
      <c r="C77" s="4" t="s">
        <v>57</v>
      </c>
      <c r="D77" s="3" t="s">
        <v>34</v>
      </c>
      <c r="E77" t="str">
        <f t="shared" si="1"/>
        <v>Rio Negro</v>
      </c>
    </row>
    <row r="78" spans="1:5" ht="12.75" x14ac:dyDescent="0.2">
      <c r="A78" s="3" t="s">
        <v>5</v>
      </c>
      <c r="B78" s="3" t="s">
        <v>33</v>
      </c>
      <c r="C78" s="4" t="s">
        <v>36</v>
      </c>
      <c r="D78" s="3" t="s">
        <v>34</v>
      </c>
      <c r="E78" t="str">
        <f t="shared" si="1"/>
        <v>Rodeio</v>
      </c>
    </row>
    <row r="79" spans="1:5" ht="12.75" x14ac:dyDescent="0.2">
      <c r="A79" s="3" t="s">
        <v>21</v>
      </c>
      <c r="B79" s="3" t="s">
        <v>86</v>
      </c>
      <c r="C79" s="4" t="s">
        <v>93</v>
      </c>
      <c r="D79" s="3" t="s">
        <v>34</v>
      </c>
      <c r="E79" t="str">
        <f t="shared" si="1"/>
        <v>Sangao</v>
      </c>
    </row>
    <row r="80" spans="1:5" ht="12.75" x14ac:dyDescent="0.2">
      <c r="A80" s="3" t="s">
        <v>21</v>
      </c>
      <c r="B80" s="3" t="s">
        <v>86</v>
      </c>
      <c r="C80" s="4" t="s">
        <v>93</v>
      </c>
      <c r="D80" s="3" t="s">
        <v>34</v>
      </c>
      <c r="E80" t="str">
        <f t="shared" si="1"/>
        <v>Sangao</v>
      </c>
    </row>
    <row r="81" spans="1:5" ht="12.75" x14ac:dyDescent="0.2">
      <c r="A81" s="3" t="s">
        <v>21</v>
      </c>
      <c r="B81" s="3" t="s">
        <v>86</v>
      </c>
      <c r="C81" s="4" t="s">
        <v>106</v>
      </c>
      <c r="D81" s="3" t="s">
        <v>34</v>
      </c>
      <c r="E81" t="str">
        <f>REMOVERACENTOS(C81)</f>
        <v>Santa Rosa do Sul</v>
      </c>
    </row>
    <row r="82" spans="1:5" ht="12.75" x14ac:dyDescent="0.2">
      <c r="A82" s="3" t="s">
        <v>27</v>
      </c>
      <c r="B82" s="3" t="s">
        <v>111</v>
      </c>
      <c r="C82" s="4" t="s">
        <v>115</v>
      </c>
      <c r="D82" s="3" t="s">
        <v>34</v>
      </c>
      <c r="E82" t="str">
        <f>REMOVERACENTOS(C82)</f>
        <v>Santo Amaro da Imperatriz</v>
      </c>
    </row>
    <row r="83" spans="1:5" ht="12.75" x14ac:dyDescent="0.2">
      <c r="A83" s="3" t="s">
        <v>14</v>
      </c>
      <c r="B83" s="3" t="s">
        <v>53</v>
      </c>
      <c r="C83" s="4" t="s">
        <v>128</v>
      </c>
      <c r="D83" s="3" t="s">
        <v>34</v>
      </c>
      <c r="E83" t="str">
        <f t="shared" si="1"/>
        <v>Sao Bento do Sul</v>
      </c>
    </row>
    <row r="84" spans="1:5" ht="12.75" x14ac:dyDescent="0.2">
      <c r="A84" s="3" t="s">
        <v>14</v>
      </c>
      <c r="B84" s="3" t="s">
        <v>53</v>
      </c>
      <c r="C84" s="4" t="s">
        <v>127</v>
      </c>
      <c r="D84" s="3" t="s">
        <v>34</v>
      </c>
      <c r="E84" t="str">
        <f t="shared" si="1"/>
        <v>Sao Francisco do Sul</v>
      </c>
    </row>
    <row r="85" spans="1:5" ht="12.75" x14ac:dyDescent="0.2">
      <c r="A85" s="3" t="s">
        <v>8</v>
      </c>
      <c r="B85" s="3" t="s">
        <v>40</v>
      </c>
      <c r="C85" s="4" t="s">
        <v>124</v>
      </c>
      <c r="D85" s="3" t="s">
        <v>34</v>
      </c>
      <c r="E85" t="str">
        <f t="shared" si="1"/>
        <v>Sao Joao Batista</v>
      </c>
    </row>
    <row r="86" spans="1:5" ht="12.75" x14ac:dyDescent="0.2">
      <c r="A86" s="3" t="s">
        <v>27</v>
      </c>
      <c r="B86" s="3" t="s">
        <v>111</v>
      </c>
      <c r="C86" s="4" t="s">
        <v>112</v>
      </c>
      <c r="D86" s="3" t="s">
        <v>34</v>
      </c>
      <c r="E86" t="str">
        <f t="shared" si="1"/>
        <v>Sao Jose</v>
      </c>
    </row>
    <row r="87" spans="1:5" ht="12.75" x14ac:dyDescent="0.2">
      <c r="A87" s="3" t="s">
        <v>21</v>
      </c>
      <c r="B87" s="3" t="s">
        <v>86</v>
      </c>
      <c r="C87" s="4" t="s">
        <v>95</v>
      </c>
      <c r="D87" s="3" t="s">
        <v>34</v>
      </c>
      <c r="E87" t="str">
        <f t="shared" si="1"/>
        <v>Sao Ludgero</v>
      </c>
    </row>
    <row r="88" spans="1:5" ht="12.75" x14ac:dyDescent="0.2">
      <c r="A88" s="3" t="s">
        <v>5</v>
      </c>
      <c r="B88" s="3" t="s">
        <v>33</v>
      </c>
      <c r="C88" s="4" t="s">
        <v>37</v>
      </c>
      <c r="D88" s="3" t="s">
        <v>34</v>
      </c>
      <c r="E88" t="str">
        <f t="shared" si="1"/>
        <v>Schroeder</v>
      </c>
    </row>
    <row r="89" spans="1:5" ht="12.75" x14ac:dyDescent="0.2">
      <c r="A89" s="3" t="s">
        <v>17</v>
      </c>
      <c r="B89" s="3" t="s">
        <v>63</v>
      </c>
      <c r="C89" s="4" t="s">
        <v>66</v>
      </c>
      <c r="D89" s="3" t="s">
        <v>34</v>
      </c>
      <c r="E89" t="str">
        <f t="shared" si="1"/>
        <v>Seara</v>
      </c>
    </row>
    <row r="90" spans="1:5" ht="12.75" x14ac:dyDescent="0.2">
      <c r="A90" s="3" t="s">
        <v>21</v>
      </c>
      <c r="B90" s="3" t="s">
        <v>86</v>
      </c>
      <c r="C90" s="4" t="s">
        <v>107</v>
      </c>
      <c r="D90" s="3" t="s">
        <v>34</v>
      </c>
      <c r="E90" t="str">
        <f t="shared" si="1"/>
        <v>Sideropolis</v>
      </c>
    </row>
    <row r="91" spans="1:5" ht="12.75" x14ac:dyDescent="0.2">
      <c r="A91" s="3" t="s">
        <v>21</v>
      </c>
      <c r="B91" s="3" t="s">
        <v>86</v>
      </c>
      <c r="C91" s="4" t="s">
        <v>133</v>
      </c>
      <c r="D91" s="3" t="s">
        <v>34</v>
      </c>
      <c r="E91" t="str">
        <f t="shared" si="1"/>
        <v>Sombrio</v>
      </c>
    </row>
    <row r="92" spans="1:5" ht="12.75" x14ac:dyDescent="0.2">
      <c r="A92" s="3" t="s">
        <v>8</v>
      </c>
      <c r="B92" s="3" t="s">
        <v>40</v>
      </c>
      <c r="C92" s="4" t="s">
        <v>44</v>
      </c>
      <c r="D92" s="3" t="s">
        <v>34</v>
      </c>
      <c r="E92" t="str">
        <f t="shared" si="1"/>
        <v>Tijucas</v>
      </c>
    </row>
    <row r="93" spans="1:5" ht="12.75" x14ac:dyDescent="0.2">
      <c r="A93" s="3" t="s">
        <v>5</v>
      </c>
      <c r="B93" s="3" t="s">
        <v>33</v>
      </c>
      <c r="C93" s="5" t="s">
        <v>118</v>
      </c>
      <c r="D93" s="3" t="s">
        <v>34</v>
      </c>
      <c r="E93" t="str">
        <f t="shared" si="1"/>
        <v>Timbo</v>
      </c>
    </row>
    <row r="94" spans="1:5" ht="12.75" x14ac:dyDescent="0.2">
      <c r="A94" s="3" t="s">
        <v>17</v>
      </c>
      <c r="B94" s="3" t="s">
        <v>63</v>
      </c>
      <c r="C94" s="4" t="s">
        <v>77</v>
      </c>
      <c r="D94" s="3" t="s">
        <v>34</v>
      </c>
      <c r="E94" t="str">
        <f t="shared" si="1"/>
        <v>Tres Barras</v>
      </c>
    </row>
    <row r="95" spans="1:5" ht="12.75" x14ac:dyDescent="0.2">
      <c r="A95" s="3" t="s">
        <v>21</v>
      </c>
      <c r="B95" s="3" t="s">
        <v>86</v>
      </c>
      <c r="C95" s="4" t="s">
        <v>132</v>
      </c>
      <c r="D95" s="3" t="s">
        <v>34</v>
      </c>
      <c r="E95" t="str">
        <f>REMOVERACENTOS(C95)</f>
        <v>Treze de Maio</v>
      </c>
    </row>
    <row r="96" spans="1:5" ht="12.75" x14ac:dyDescent="0.2">
      <c r="A96" s="3" t="s">
        <v>21</v>
      </c>
      <c r="B96" s="3" t="s">
        <v>86</v>
      </c>
      <c r="C96" s="4" t="s">
        <v>88</v>
      </c>
      <c r="D96" s="3" t="s">
        <v>34</v>
      </c>
      <c r="E96" t="str">
        <f t="shared" si="1"/>
        <v>Tubarao</v>
      </c>
    </row>
    <row r="97" spans="1:5" ht="12.75" x14ac:dyDescent="0.2">
      <c r="A97" s="3" t="s">
        <v>21</v>
      </c>
      <c r="B97" s="3" t="s">
        <v>86</v>
      </c>
      <c r="C97" s="4" t="s">
        <v>108</v>
      </c>
      <c r="D97" s="3" t="s">
        <v>34</v>
      </c>
      <c r="E97" t="str">
        <f t="shared" si="1"/>
        <v>Turvo</v>
      </c>
    </row>
    <row r="98" spans="1:5" ht="12.75" x14ac:dyDescent="0.2">
      <c r="A98" s="3" t="s">
        <v>17</v>
      </c>
      <c r="B98" s="3" t="s">
        <v>63</v>
      </c>
      <c r="C98" s="4" t="s">
        <v>74</v>
      </c>
      <c r="D98" s="3" t="s">
        <v>34</v>
      </c>
      <c r="E98" t="str">
        <f>REMOVERACENTOS(C98)</f>
        <v>Uniao da Vitoria</v>
      </c>
    </row>
    <row r="99" spans="1:5" ht="12.75" x14ac:dyDescent="0.2">
      <c r="A99" s="3" t="s">
        <v>21</v>
      </c>
      <c r="B99" s="3" t="s">
        <v>86</v>
      </c>
      <c r="C99" s="4" t="s">
        <v>96</v>
      </c>
      <c r="D99" s="3" t="s">
        <v>34</v>
      </c>
      <c r="E99" t="str">
        <f t="shared" si="1"/>
        <v>Urussanga</v>
      </c>
    </row>
    <row r="100" spans="1:5" ht="12.75" x14ac:dyDescent="0.2">
      <c r="A100" s="3" t="s">
        <v>17</v>
      </c>
      <c r="B100" s="3" t="s">
        <v>63</v>
      </c>
      <c r="C100" s="4" t="s">
        <v>71</v>
      </c>
      <c r="D100" s="3" t="s">
        <v>34</v>
      </c>
      <c r="E100" t="str">
        <f t="shared" si="1"/>
        <v>Videira</v>
      </c>
    </row>
    <row r="101" spans="1:5" ht="12.75" x14ac:dyDescent="0.2">
      <c r="A101" s="3" t="s">
        <v>17</v>
      </c>
      <c r="B101" s="3" t="s">
        <v>63</v>
      </c>
      <c r="C101" s="4" t="s">
        <v>65</v>
      </c>
      <c r="D101" s="3" t="s">
        <v>34</v>
      </c>
      <c r="E101" t="str">
        <f t="shared" si="1"/>
        <v>Xanxere</v>
      </c>
    </row>
    <row r="102" spans="1:5" ht="12.75" x14ac:dyDescent="0.2">
      <c r="A102" s="3" t="s">
        <v>17</v>
      </c>
      <c r="B102" s="3" t="s">
        <v>63</v>
      </c>
      <c r="C102" s="4" t="s">
        <v>64</v>
      </c>
      <c r="D102" s="3" t="s">
        <v>34</v>
      </c>
      <c r="E102" t="str">
        <f t="shared" si="1"/>
        <v>Xaxim</v>
      </c>
    </row>
  </sheetData>
  <autoFilter ref="A1:D102" xr:uid="{93E641A6-E563-4968-BAED-05A7F1719AE3}">
    <sortState ref="A2:D102">
      <sortCondition ref="C1:C102"/>
    </sortState>
  </autoFilter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Coordenador!$B$2:$B$9</xm:f>
          </x14:formula1>
          <xm:sqref>A2:A102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Coordenador</vt:lpstr>
      <vt:lpstr>CoordenadorCidade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kore06</dc:creator>
  <cp:lastModifiedBy>Terminal</cp:lastModifiedBy>
  <dcterms:created xsi:type="dcterms:W3CDTF">2023-05-15T17:35:03Z</dcterms:created>
  <dcterms:modified xsi:type="dcterms:W3CDTF">2023-05-16T18:04:12Z</dcterms:modified>
</cp:coreProperties>
</file>